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Excel_Data_Analytics_Course-main\Excel_Data_Analytics_Course-main\2_Formulas_Functions\"/>
    </mc:Choice>
  </mc:AlternateContent>
  <xr:revisionPtr revIDLastSave="0" documentId="13_ncr:1_{6A6A98DC-43A2-4377-AD34-904788E8566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2" i="8" l="1"/>
  <c r="AB23" i="8"/>
  <c r="AB24" i="8"/>
  <c r="AB25" i="8"/>
  <c r="AB3" i="8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" i="8"/>
  <c r="AA2" i="8" a="1"/>
  <c r="Z3" i="8"/>
  <c r="Z4" i="8"/>
  <c r="Z5" i="8"/>
  <c r="Z6" i="8"/>
  <c r="Z7" i="8"/>
  <c r="Z8" i="8"/>
  <c r="Z9" i="8"/>
  <c r="Z10" i="8"/>
  <c r="Z11" i="8"/>
  <c r="Z12" i="8"/>
  <c r="Z13" i="8"/>
  <c r="Z14" i="8"/>
  <c r="Z15" i="8"/>
  <c r="Z16" i="8"/>
  <c r="Z17" i="8"/>
  <c r="Z18" i="8"/>
  <c r="Z19" i="8"/>
  <c r="Z20" i="8"/>
  <c r="Z21" i="8"/>
  <c r="Z2" i="8"/>
  <c r="Y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" i="8"/>
  <c r="T3" i="8"/>
  <c r="U3" i="8"/>
  <c r="V3" i="8"/>
  <c r="T4" i="8"/>
  <c r="U4" i="8"/>
  <c r="V4" i="8"/>
  <c r="T5" i="8"/>
  <c r="U5" i="8"/>
  <c r="V5" i="8"/>
  <c r="T6" i="8"/>
  <c r="U6" i="8"/>
  <c r="V6" i="8"/>
  <c r="T7" i="8"/>
  <c r="U7" i="8"/>
  <c r="V7" i="8"/>
  <c r="T8" i="8"/>
  <c r="U8" i="8"/>
  <c r="V8" i="8"/>
  <c r="T9" i="8"/>
  <c r="U9" i="8"/>
  <c r="V9" i="8"/>
  <c r="T10" i="8"/>
  <c r="U10" i="8"/>
  <c r="V10" i="8"/>
  <c r="T11" i="8"/>
  <c r="U11" i="8"/>
  <c r="V11" i="8"/>
  <c r="T12" i="8"/>
  <c r="U12" i="8"/>
  <c r="V12" i="8"/>
  <c r="T13" i="8"/>
  <c r="U13" i="8"/>
  <c r="V13" i="8"/>
  <c r="T14" i="8"/>
  <c r="U14" i="8"/>
  <c r="V14" i="8"/>
  <c r="T15" i="8"/>
  <c r="U15" i="8"/>
  <c r="V15" i="8"/>
  <c r="T16" i="8"/>
  <c r="U16" i="8"/>
  <c r="V16" i="8"/>
  <c r="T17" i="8"/>
  <c r="U17" i="8"/>
  <c r="V17" i="8"/>
  <c r="T18" i="8"/>
  <c r="U18" i="8"/>
  <c r="V18" i="8"/>
  <c r="T19" i="8"/>
  <c r="U19" i="8"/>
  <c r="V19" i="8"/>
  <c r="T20" i="8"/>
  <c r="U20" i="8"/>
  <c r="V20" i="8"/>
  <c r="V2" i="8"/>
  <c r="U2" i="8"/>
  <c r="T2" i="8"/>
  <c r="P2" i="8"/>
  <c r="J3" i="8"/>
  <c r="K3" i="8"/>
  <c r="L3" i="8"/>
  <c r="N3" i="8"/>
  <c r="J4" i="8"/>
  <c r="K4" i="8"/>
  <c r="L4" i="8"/>
  <c r="N4" i="8"/>
  <c r="J5" i="8"/>
  <c r="K5" i="8"/>
  <c r="L5" i="8"/>
  <c r="N5" i="8"/>
  <c r="J6" i="8"/>
  <c r="K6" i="8"/>
  <c r="L6" i="8"/>
  <c r="N6" i="8"/>
  <c r="J7" i="8"/>
  <c r="K7" i="8"/>
  <c r="L7" i="8"/>
  <c r="N7" i="8"/>
  <c r="J8" i="8"/>
  <c r="K8" i="8"/>
  <c r="L8" i="8"/>
  <c r="N8" i="8"/>
  <c r="J9" i="8"/>
  <c r="K9" i="8"/>
  <c r="L9" i="8"/>
  <c r="N9" i="8"/>
  <c r="J10" i="8"/>
  <c r="K10" i="8"/>
  <c r="L10" i="8"/>
  <c r="N10" i="8"/>
  <c r="J11" i="8"/>
  <c r="K11" i="8"/>
  <c r="L11" i="8"/>
  <c r="N11" i="8" s="1"/>
  <c r="J12" i="8"/>
  <c r="K12" i="8"/>
  <c r="L12" i="8"/>
  <c r="N12" i="8" s="1"/>
  <c r="J13" i="8"/>
  <c r="K13" i="8"/>
  <c r="N13" i="8" s="1"/>
  <c r="L13" i="8"/>
  <c r="J14" i="8"/>
  <c r="K14" i="8"/>
  <c r="L14" i="8"/>
  <c r="N14" i="8"/>
  <c r="J15" i="8"/>
  <c r="K15" i="8"/>
  <c r="L15" i="8"/>
  <c r="N15" i="8"/>
  <c r="J16" i="8"/>
  <c r="K16" i="8"/>
  <c r="L16" i="8"/>
  <c r="N16" i="8"/>
  <c r="J17" i="8"/>
  <c r="K17" i="8"/>
  <c r="L17" i="8"/>
  <c r="N17" i="8"/>
  <c r="J18" i="8"/>
  <c r="K18" i="8"/>
  <c r="L18" i="8"/>
  <c r="N18" i="8"/>
  <c r="J19" i="8"/>
  <c r="K19" i="8"/>
  <c r="L19" i="8"/>
  <c r="N19" i="8"/>
  <c r="J20" i="8"/>
  <c r="K20" i="8"/>
  <c r="L20" i="8"/>
  <c r="N20" i="8" s="1"/>
  <c r="N2" i="8"/>
  <c r="L2" i="8"/>
  <c r="K2" i="8"/>
  <c r="J2" i="8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P2" i="14" l="1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2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<sst xmlns="http://schemas.openxmlformats.org/spreadsheetml/2006/main" count="471" uniqueCount="97">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</sst>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</a:t>
            </a:r>
            <a:r>
              <a:rPr lang="en-US" baseline="0"/>
              <a:t> posting</a:t>
            </a:r>
          </a:p>
        </c:rich>
      </c:tx>
      <c:layout>
        <c:manualLayout>
          <c:xMode val="edge"/>
          <c:yMode val="edge"/>
          <c:x val="0.43449300087489068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786964129483812E-2"/>
          <c:y val="0.1115277777777778"/>
          <c:w val="0.89655796150481193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Data!$AA$2:$AA$25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Data!$AB$2:$AB$25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03-4903-95B0-E8807CCB5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355167"/>
        <c:axId val="163369567"/>
      </c:barChart>
      <c:catAx>
        <c:axId val="163355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69567"/>
        <c:crosses val="autoZero"/>
        <c:auto val="1"/>
        <c:lblAlgn val="ctr"/>
        <c:lblOffset val="100"/>
        <c:noMultiLvlLbl val="0"/>
      </c:catAx>
      <c:valAx>
        <c:axId val="16336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55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485775</xdr:colOff>
      <xdr:row>5</xdr:row>
      <xdr:rowOff>161925</xdr:rowOff>
    </xdr:from>
    <xdr:to>
      <xdr:col>38</xdr:col>
      <xdr:colOff>180975</xdr:colOff>
      <xdr:row>20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7D7D5E-DD93-CB31-33A3-9ACF9A1556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B25"/>
  <sheetViews>
    <sheetView tabSelected="1" topLeftCell="D3" workbookViewId="0">
      <selection activeCell="AN15" sqref="AN15"/>
    </sheetView>
  </sheetViews>
  <sheetFormatPr defaultRowHeight="15" x14ac:dyDescent="0.25"/>
  <cols>
    <col min="1" max="1" width="17.5703125" customWidth="1"/>
    <col min="2" max="2" width="14.28515625" hidden="1" customWidth="1"/>
    <col min="3" max="3" width="27.28515625" hidden="1" customWidth="1"/>
    <col min="4" max="4" width="23" style="9" bestFit="1" customWidth="1"/>
    <col min="5" max="5" width="26.28515625" hidden="1" customWidth="1"/>
    <col min="6" max="6" width="11" hidden="1" customWidth="1"/>
    <col min="7" max="7" width="22" hidden="1" customWidth="1"/>
    <col min="8" max="8" width="40" hidden="1" customWidth="1"/>
    <col min="10" max="13" width="8.85546875" hidden="1" customWidth="1"/>
    <col min="14" max="14" width="14.140625" hidden="1" customWidth="1"/>
    <col min="15" max="15" width="8.85546875" hidden="1" customWidth="1"/>
    <col min="16" max="16" width="10.5703125" hidden="1" customWidth="1"/>
    <col min="17" max="17" width="8.85546875" hidden="1" customWidth="1"/>
    <col min="18" max="18" width="16" hidden="1" customWidth="1"/>
    <col min="19" max="23" width="8.85546875" hidden="1" customWidth="1"/>
    <col min="24" max="25" width="14.42578125" hidden="1" customWidth="1"/>
    <col min="26" max="26" width="8.85546875" customWidth="1"/>
  </cols>
  <sheetData>
    <row r="1" spans="1:28" x14ac:dyDescent="0.2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7"/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  <c r="T1" s="15" t="s">
        <v>90</v>
      </c>
      <c r="U1" s="15" t="s">
        <v>91</v>
      </c>
      <c r="V1" s="15" t="s">
        <v>92</v>
      </c>
      <c r="X1" s="15" t="s">
        <v>95</v>
      </c>
      <c r="Y1" s="15" t="s">
        <v>95</v>
      </c>
      <c r="Z1" s="18" t="s">
        <v>96</v>
      </c>
      <c r="AA1" s="15" t="s">
        <v>93</v>
      </c>
      <c r="AB1" s="16"/>
    </row>
    <row r="2" spans="1:28" x14ac:dyDescent="0.2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46232</v>
      </c>
      <c r="T2">
        <f>HOUR(D2)</f>
        <v>15</v>
      </c>
      <c r="U2">
        <f>MINUTE(D2)</f>
        <v>22</v>
      </c>
      <c r="V2">
        <f>SECOND(D2)</f>
        <v>15</v>
      </c>
      <c r="X2" s="13">
        <f>TIME(T2,U2,V2)</f>
        <v>0.64045138888888886</v>
      </c>
      <c r="Y2" t="str">
        <f>TEXT(D2,"HH:MM AM/PM")</f>
        <v>03:22 PM</v>
      </c>
      <c r="Z2">
        <f>HOUR(D2)</f>
        <v>15</v>
      </c>
      <c r="AA2" cm="1">
        <f t="array" ref="AA2:AA25">_xlfn.SEQUENCE(24,,1)</f>
        <v>1</v>
      </c>
      <c r="AB2">
        <f>COUNTIF(Z2:Z21,AA2)</f>
        <v>0</v>
      </c>
    </row>
    <row r="3" spans="1:28" x14ac:dyDescent="0.2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0" si="0">MONTH(D3)</f>
        <v>5</v>
      </c>
      <c r="K3">
        <f t="shared" ref="K3:K20" si="1">DAY(D3)</f>
        <v>9</v>
      </c>
      <c r="L3">
        <f t="shared" ref="L3:L20" si="2">YEAR(D3)</f>
        <v>2023</v>
      </c>
      <c r="N3" s="9">
        <f t="shared" ref="N3:N20" si="3">DATE(L3,J3,K3)</f>
        <v>45055</v>
      </c>
      <c r="T3">
        <f t="shared" ref="T3:T20" si="4">HOUR(D3)</f>
        <v>9</v>
      </c>
      <c r="U3">
        <f t="shared" ref="U3:U20" si="5">MINUTE(D3)</f>
        <v>45</v>
      </c>
      <c r="V3">
        <f t="shared" ref="V3:V20" si="6">SECOND(D3)</f>
        <v>32</v>
      </c>
      <c r="X3" s="13">
        <f t="shared" ref="X3:X20" si="7">TIME(T3,U3,V3)</f>
        <v>0.40662037037037035</v>
      </c>
      <c r="Y3" t="str">
        <f t="shared" ref="Y3:Y20" si="8">TEXT(D3,"HH:MM AM/PM")</f>
        <v>09:45 AM</v>
      </c>
      <c r="Z3">
        <f t="shared" ref="Z3:Z21" si="9">HOUR(D3)</f>
        <v>9</v>
      </c>
      <c r="AA3">
        <v>2</v>
      </c>
      <c r="AB3">
        <f t="shared" ref="AB3:AB25" si="10">COUNTIF(Z3:Z22,AA3)</f>
        <v>0</v>
      </c>
    </row>
    <row r="4" spans="1:28" x14ac:dyDescent="0.2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T4">
        <f t="shared" si="4"/>
        <v>17</v>
      </c>
      <c r="U4">
        <f t="shared" si="5"/>
        <v>30</v>
      </c>
      <c r="V4">
        <f t="shared" si="6"/>
        <v>47</v>
      </c>
      <c r="X4" s="13">
        <f t="shared" si="7"/>
        <v>0.72971064814814812</v>
      </c>
      <c r="Y4" t="str">
        <f t="shared" si="8"/>
        <v>05:30 PM</v>
      </c>
      <c r="Z4">
        <f t="shared" si="9"/>
        <v>17</v>
      </c>
      <c r="AA4">
        <v>3</v>
      </c>
      <c r="AB4">
        <f t="shared" si="10"/>
        <v>0</v>
      </c>
    </row>
    <row r="5" spans="1:28" x14ac:dyDescent="0.2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T5">
        <f t="shared" si="4"/>
        <v>7</v>
      </c>
      <c r="U5">
        <f t="shared" si="5"/>
        <v>15</v>
      </c>
      <c r="V5">
        <f t="shared" si="6"/>
        <v>9</v>
      </c>
      <c r="X5" s="13">
        <f t="shared" si="7"/>
        <v>0.3021875</v>
      </c>
      <c r="Y5" t="str">
        <f t="shared" si="8"/>
        <v>07:15 AM</v>
      </c>
      <c r="Z5">
        <f t="shared" si="9"/>
        <v>7</v>
      </c>
      <c r="AA5">
        <v>4</v>
      </c>
      <c r="AB5">
        <f t="shared" si="10"/>
        <v>0</v>
      </c>
    </row>
    <row r="6" spans="1:28" x14ac:dyDescent="0.2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T6">
        <f t="shared" si="4"/>
        <v>17</v>
      </c>
      <c r="U6">
        <f t="shared" si="5"/>
        <v>0</v>
      </c>
      <c r="V6">
        <f t="shared" si="6"/>
        <v>21</v>
      </c>
      <c r="X6" s="13">
        <f t="shared" si="7"/>
        <v>0.70857638888888885</v>
      </c>
      <c r="Y6" t="str">
        <f t="shared" si="8"/>
        <v>05:00 PM</v>
      </c>
      <c r="Z6">
        <f t="shared" si="9"/>
        <v>17</v>
      </c>
      <c r="AA6">
        <v>5</v>
      </c>
      <c r="AB6">
        <f t="shared" si="10"/>
        <v>0</v>
      </c>
    </row>
    <row r="7" spans="1:28" x14ac:dyDescent="0.2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T7">
        <f t="shared" si="4"/>
        <v>12</v>
      </c>
      <c r="U7">
        <f t="shared" si="5"/>
        <v>45</v>
      </c>
      <c r="V7">
        <f t="shared" si="6"/>
        <v>58</v>
      </c>
      <c r="X7" s="13">
        <f t="shared" si="7"/>
        <v>0.53192129629629625</v>
      </c>
      <c r="Y7" t="str">
        <f t="shared" si="8"/>
        <v>12:45 PM</v>
      </c>
      <c r="Z7">
        <f t="shared" si="9"/>
        <v>12</v>
      </c>
      <c r="AA7">
        <v>6</v>
      </c>
      <c r="AB7">
        <f t="shared" si="10"/>
        <v>1</v>
      </c>
    </row>
    <row r="8" spans="1:28" x14ac:dyDescent="0.2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T8">
        <f t="shared" si="4"/>
        <v>16</v>
      </c>
      <c r="U8">
        <f t="shared" si="5"/>
        <v>30</v>
      </c>
      <c r="V8">
        <f t="shared" si="6"/>
        <v>33</v>
      </c>
      <c r="X8" s="13">
        <f t="shared" si="7"/>
        <v>0.68788194444444439</v>
      </c>
      <c r="Y8" t="str">
        <f t="shared" si="8"/>
        <v>04:30 PM</v>
      </c>
      <c r="Z8">
        <f t="shared" si="9"/>
        <v>16</v>
      </c>
      <c r="AA8">
        <v>7</v>
      </c>
      <c r="AB8">
        <f t="shared" si="10"/>
        <v>2</v>
      </c>
    </row>
    <row r="9" spans="1:28" x14ac:dyDescent="0.2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T9">
        <f t="shared" si="4"/>
        <v>8</v>
      </c>
      <c r="U9">
        <f t="shared" si="5"/>
        <v>10</v>
      </c>
      <c r="V9">
        <f t="shared" si="6"/>
        <v>46</v>
      </c>
      <c r="X9" s="13">
        <f t="shared" si="7"/>
        <v>0.34081018518518519</v>
      </c>
      <c r="Y9" t="str">
        <f t="shared" si="8"/>
        <v>08:10 AM</v>
      </c>
      <c r="Z9">
        <f t="shared" si="9"/>
        <v>8</v>
      </c>
      <c r="AA9">
        <v>8</v>
      </c>
      <c r="AB9">
        <f t="shared" si="10"/>
        <v>1</v>
      </c>
    </row>
    <row r="10" spans="1:28" x14ac:dyDescent="0.2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T10">
        <f t="shared" si="4"/>
        <v>17</v>
      </c>
      <c r="U10">
        <f t="shared" si="5"/>
        <v>50</v>
      </c>
      <c r="V10">
        <f t="shared" si="6"/>
        <v>24</v>
      </c>
      <c r="X10" s="13">
        <f t="shared" si="7"/>
        <v>0.74333333333333329</v>
      </c>
      <c r="Y10" t="str">
        <f t="shared" si="8"/>
        <v>05:50 PM</v>
      </c>
      <c r="Z10">
        <f t="shared" si="9"/>
        <v>17</v>
      </c>
      <c r="AA10">
        <v>9</v>
      </c>
      <c r="AB10">
        <f t="shared" si="10"/>
        <v>0</v>
      </c>
    </row>
    <row r="11" spans="1:28" x14ac:dyDescent="0.2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 t="shared" si="3"/>
        <v>45480</v>
      </c>
      <c r="T11">
        <f t="shared" si="4"/>
        <v>14</v>
      </c>
      <c r="U11">
        <f t="shared" si="5"/>
        <v>35</v>
      </c>
      <c r="V11">
        <f t="shared" si="6"/>
        <v>36</v>
      </c>
      <c r="X11" s="13">
        <f t="shared" si="7"/>
        <v>0.60805555555555557</v>
      </c>
      <c r="Y11" t="str">
        <f t="shared" si="8"/>
        <v>02:35 PM</v>
      </c>
      <c r="Z11">
        <f t="shared" si="9"/>
        <v>14</v>
      </c>
      <c r="AA11">
        <v>10</v>
      </c>
      <c r="AB11">
        <f t="shared" si="10"/>
        <v>1</v>
      </c>
    </row>
    <row r="12" spans="1:28" x14ac:dyDescent="0.2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T12">
        <f t="shared" si="4"/>
        <v>6</v>
      </c>
      <c r="U12">
        <f t="shared" si="5"/>
        <v>50</v>
      </c>
      <c r="V12">
        <f t="shared" si="6"/>
        <v>18</v>
      </c>
      <c r="X12" s="13">
        <f t="shared" si="7"/>
        <v>0.28493055555555558</v>
      </c>
      <c r="Y12" t="str">
        <f t="shared" si="8"/>
        <v>06:50 AM</v>
      </c>
      <c r="Z12">
        <f t="shared" si="9"/>
        <v>6</v>
      </c>
      <c r="AA12">
        <v>11</v>
      </c>
      <c r="AB12">
        <f t="shared" si="10"/>
        <v>1</v>
      </c>
    </row>
    <row r="13" spans="1:28" x14ac:dyDescent="0.2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T13">
        <f t="shared" si="4"/>
        <v>13</v>
      </c>
      <c r="U13">
        <f t="shared" si="5"/>
        <v>15</v>
      </c>
      <c r="V13">
        <f t="shared" si="6"/>
        <v>5</v>
      </c>
      <c r="X13" s="13">
        <f t="shared" si="7"/>
        <v>0.55214120370370368</v>
      </c>
      <c r="Y13" t="str">
        <f t="shared" si="8"/>
        <v>01:15 PM</v>
      </c>
      <c r="Z13">
        <f t="shared" si="9"/>
        <v>13</v>
      </c>
      <c r="AA13">
        <v>12</v>
      </c>
      <c r="AB13">
        <f t="shared" si="10"/>
        <v>0</v>
      </c>
    </row>
    <row r="14" spans="1:28" x14ac:dyDescent="0.2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T14">
        <f t="shared" si="4"/>
        <v>11</v>
      </c>
      <c r="U14">
        <f t="shared" si="5"/>
        <v>45</v>
      </c>
      <c r="V14">
        <f t="shared" si="6"/>
        <v>39</v>
      </c>
      <c r="X14" s="13">
        <f t="shared" si="7"/>
        <v>0.49003472222222222</v>
      </c>
      <c r="Y14" t="str">
        <f t="shared" si="8"/>
        <v>11:45 AM</v>
      </c>
      <c r="Z14">
        <f t="shared" si="9"/>
        <v>11</v>
      </c>
      <c r="AA14">
        <v>13</v>
      </c>
      <c r="AB14">
        <f t="shared" si="10"/>
        <v>0</v>
      </c>
    </row>
    <row r="15" spans="1:28" x14ac:dyDescent="0.2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T15">
        <f t="shared" si="4"/>
        <v>10</v>
      </c>
      <c r="U15">
        <f t="shared" si="5"/>
        <v>0</v>
      </c>
      <c r="V15">
        <f t="shared" si="6"/>
        <v>51</v>
      </c>
      <c r="X15" s="13">
        <f t="shared" si="7"/>
        <v>0.41725694444444444</v>
      </c>
      <c r="Y15" t="str">
        <f t="shared" si="8"/>
        <v>10:00 AM</v>
      </c>
      <c r="Z15">
        <f t="shared" si="9"/>
        <v>10</v>
      </c>
      <c r="AA15">
        <v>14</v>
      </c>
      <c r="AB15">
        <f t="shared" si="10"/>
        <v>0</v>
      </c>
    </row>
    <row r="16" spans="1:28" x14ac:dyDescent="0.2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T16">
        <f t="shared" si="4"/>
        <v>17</v>
      </c>
      <c r="U16">
        <f t="shared" si="5"/>
        <v>30</v>
      </c>
      <c r="V16">
        <f t="shared" si="6"/>
        <v>14</v>
      </c>
      <c r="X16" s="13">
        <f t="shared" si="7"/>
        <v>0.72932870370370373</v>
      </c>
      <c r="Y16" t="str">
        <f t="shared" si="8"/>
        <v>05:30 PM</v>
      </c>
      <c r="Z16">
        <f t="shared" si="9"/>
        <v>17</v>
      </c>
      <c r="AA16">
        <v>15</v>
      </c>
      <c r="AB16">
        <f t="shared" si="10"/>
        <v>0</v>
      </c>
    </row>
    <row r="17" spans="1:28" x14ac:dyDescent="0.2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T17">
        <f t="shared" si="4"/>
        <v>7</v>
      </c>
      <c r="U17">
        <f t="shared" si="5"/>
        <v>40</v>
      </c>
      <c r="V17">
        <f t="shared" si="6"/>
        <v>29</v>
      </c>
      <c r="X17" s="13">
        <f t="shared" si="7"/>
        <v>0.3197800925925926</v>
      </c>
      <c r="Y17" t="str">
        <f t="shared" si="8"/>
        <v>07:40 AM</v>
      </c>
      <c r="Z17">
        <f t="shared" si="9"/>
        <v>7</v>
      </c>
      <c r="AA17">
        <v>16</v>
      </c>
      <c r="AB17">
        <f t="shared" si="10"/>
        <v>0</v>
      </c>
    </row>
    <row r="18" spans="1:28" x14ac:dyDescent="0.2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T18">
        <f t="shared" si="4"/>
        <v>17</v>
      </c>
      <c r="U18">
        <f t="shared" si="5"/>
        <v>15</v>
      </c>
      <c r="V18">
        <f t="shared" si="6"/>
        <v>42</v>
      </c>
      <c r="X18" s="13">
        <f t="shared" si="7"/>
        <v>0.71923611111111108</v>
      </c>
      <c r="Y18" t="str">
        <f t="shared" si="8"/>
        <v>05:15 PM</v>
      </c>
      <c r="Z18">
        <f t="shared" si="9"/>
        <v>17</v>
      </c>
      <c r="AA18">
        <v>17</v>
      </c>
      <c r="AB18">
        <f t="shared" si="10"/>
        <v>3</v>
      </c>
    </row>
    <row r="19" spans="1:28" x14ac:dyDescent="0.2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T19">
        <f t="shared" si="4"/>
        <v>17</v>
      </c>
      <c r="U19">
        <f t="shared" si="5"/>
        <v>25</v>
      </c>
      <c r="V19">
        <f t="shared" si="6"/>
        <v>57</v>
      </c>
      <c r="X19" s="13">
        <f t="shared" si="7"/>
        <v>0.72635416666666663</v>
      </c>
      <c r="Y19" t="str">
        <f t="shared" si="8"/>
        <v>05:25 PM</v>
      </c>
      <c r="Z19">
        <f t="shared" si="9"/>
        <v>17</v>
      </c>
      <c r="AA19">
        <v>18</v>
      </c>
      <c r="AB19">
        <f t="shared" si="10"/>
        <v>0</v>
      </c>
    </row>
    <row r="20" spans="1:28" x14ac:dyDescent="0.2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T20">
        <f t="shared" si="4"/>
        <v>7</v>
      </c>
      <c r="U20">
        <f t="shared" si="5"/>
        <v>0</v>
      </c>
      <c r="V20">
        <f t="shared" si="6"/>
        <v>3</v>
      </c>
      <c r="X20" s="13">
        <f t="shared" si="7"/>
        <v>0.29170138888888891</v>
      </c>
      <c r="Y20" t="str">
        <f t="shared" si="8"/>
        <v>07:00 AM</v>
      </c>
      <c r="Z20">
        <f t="shared" si="9"/>
        <v>7</v>
      </c>
      <c r="AA20">
        <v>19</v>
      </c>
      <c r="AB20">
        <f t="shared" si="10"/>
        <v>0</v>
      </c>
    </row>
    <row r="21" spans="1:28" ht="15.75" thickBot="1" x14ac:dyDescent="0.3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N21" s="9"/>
      <c r="X21" s="13"/>
      <c r="Z21">
        <f t="shared" si="9"/>
        <v>17</v>
      </c>
      <c r="AA21">
        <v>20</v>
      </c>
      <c r="AB21">
        <f t="shared" si="10"/>
        <v>0</v>
      </c>
    </row>
    <row r="22" spans="1:28" x14ac:dyDescent="0.25">
      <c r="AA22">
        <v>21</v>
      </c>
      <c r="AB22">
        <f>COUNTIF(Z22:Z41,AA22)</f>
        <v>0</v>
      </c>
    </row>
    <row r="23" spans="1:28" x14ac:dyDescent="0.25">
      <c r="AA23">
        <v>22</v>
      </c>
      <c r="AB23">
        <f t="shared" si="10"/>
        <v>0</v>
      </c>
    </row>
    <row r="24" spans="1:28" x14ac:dyDescent="0.25">
      <c r="AA24">
        <v>23</v>
      </c>
      <c r="AB24">
        <f t="shared" si="10"/>
        <v>0</v>
      </c>
    </row>
    <row r="25" spans="1:28" x14ac:dyDescent="0.25">
      <c r="AA25">
        <v>24</v>
      </c>
      <c r="AB25">
        <f t="shared" si="10"/>
        <v>0</v>
      </c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opLeftCell="D1" workbookViewId="0">
      <selection activeCell="R2" sqref="R2"/>
    </sheetView>
  </sheetViews>
  <sheetFormatPr defaultRowHeight="15" x14ac:dyDescent="0.25"/>
  <cols>
    <col min="1" max="1" width="11.7109375" bestFit="1" customWidth="1"/>
    <col min="2" max="2" width="16.140625" bestFit="1" customWidth="1"/>
    <col min="3" max="3" width="27.28515625" bestFit="1" customWidth="1"/>
    <col min="4" max="4" width="23" customWidth="1"/>
    <col min="5" max="5" width="29.85546875" hidden="1" customWidth="1"/>
    <col min="6" max="6" width="11" hidden="1" customWidth="1"/>
    <col min="7" max="7" width="22" hidden="1" customWidth="1"/>
    <col min="8" max="8" width="40" hidden="1" customWidth="1"/>
    <col min="13" max="13" width="1.85546875" customWidth="1"/>
    <col min="14" max="14" width="15.85546875" bestFit="1" customWidth="1"/>
    <col min="16" max="16" width="9.7109375" bestFit="1" customWidth="1"/>
    <col min="18" max="18" width="18" bestFit="1" customWidth="1"/>
  </cols>
  <sheetData>
    <row r="1" spans="1:18" x14ac:dyDescent="0.2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2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46232</v>
      </c>
      <c r="R2">
        <f ca="1">DATEDIF(D2,$P$2,"D")</f>
        <v>1261</v>
      </c>
    </row>
    <row r="3" spans="1:18" x14ac:dyDescent="0.2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1177</v>
      </c>
    </row>
    <row r="4" spans="1:18" x14ac:dyDescent="0.2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1104</v>
      </c>
    </row>
    <row r="5" spans="1:18" x14ac:dyDescent="0.2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1059</v>
      </c>
    </row>
    <row r="6" spans="1:18" x14ac:dyDescent="0.2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984</v>
      </c>
    </row>
    <row r="7" spans="1:18" x14ac:dyDescent="0.2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930</v>
      </c>
    </row>
    <row r="8" spans="1:18" x14ac:dyDescent="0.2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878</v>
      </c>
    </row>
    <row r="9" spans="1:18" x14ac:dyDescent="0.2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824</v>
      </c>
    </row>
    <row r="10" spans="1:18" x14ac:dyDescent="0.2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774</v>
      </c>
    </row>
    <row r="11" spans="1:18" x14ac:dyDescent="0.2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752</v>
      </c>
    </row>
    <row r="12" spans="1:18" x14ac:dyDescent="0.2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777</v>
      </c>
    </row>
    <row r="13" spans="1:18" x14ac:dyDescent="0.2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1281</v>
      </c>
    </row>
    <row r="14" spans="1:18" x14ac:dyDescent="0.2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1230</v>
      </c>
    </row>
    <row r="15" spans="1:18" x14ac:dyDescent="0.2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1154</v>
      </c>
    </row>
    <row r="16" spans="1:18" x14ac:dyDescent="0.2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1064</v>
      </c>
    </row>
    <row r="17" spans="1:18" x14ac:dyDescent="0.2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1014</v>
      </c>
    </row>
    <row r="18" spans="1:18" x14ac:dyDescent="0.2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882</v>
      </c>
    </row>
    <row r="19" spans="1:18" x14ac:dyDescent="0.2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814</v>
      </c>
    </row>
    <row r="20" spans="1:18" x14ac:dyDescent="0.2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736</v>
      </c>
    </row>
    <row r="21" spans="1:18" ht="15.75" thickBot="1" x14ac:dyDescent="0.3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810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workbookViewId="0">
      <selection activeCell="P5" sqref="P5"/>
    </sheetView>
  </sheetViews>
  <sheetFormatPr defaultRowHeight="15" x14ac:dyDescent="0.25"/>
  <cols>
    <col min="1" max="1" width="11.7109375" bestFit="1" customWidth="1"/>
    <col min="2" max="2" width="16.140625" bestFit="1" customWidth="1"/>
    <col min="3" max="3" width="27.28515625" bestFit="1" customWidth="1"/>
    <col min="4" max="4" width="23" customWidth="1"/>
    <col min="5" max="5" width="29.85546875" bestFit="1" customWidth="1"/>
    <col min="6" max="6" width="11" bestFit="1" customWidth="1"/>
    <col min="7" max="7" width="22" bestFit="1" customWidth="1"/>
    <col min="8" max="8" width="40" bestFit="1" customWidth="1"/>
    <col min="13" max="13" width="2.7109375" customWidth="1"/>
    <col min="14" max="14" width="15.85546875" bestFit="1" customWidth="1"/>
    <col min="15" max="15" width="14.42578125" bestFit="1" customWidth="1"/>
  </cols>
  <sheetData>
    <row r="1" spans="1:18" x14ac:dyDescent="0.2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2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2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2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2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2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2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2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2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2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2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2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2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2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2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2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2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2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2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2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5.75" thickBot="1" x14ac:dyDescent="0.3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25">
      <c r="Q22" s="14">
        <v>20</v>
      </c>
      <c r="R22">
        <f t="shared" si="5"/>
        <v>0</v>
      </c>
    </row>
    <row r="23" spans="1:18" x14ac:dyDescent="0.25">
      <c r="Q23" s="14">
        <v>21</v>
      </c>
      <c r="R23">
        <f t="shared" si="5"/>
        <v>0</v>
      </c>
    </row>
    <row r="24" spans="1:18" x14ac:dyDescent="0.25">
      <c r="Q24" s="14">
        <v>22</v>
      </c>
      <c r="R24">
        <f t="shared" si="5"/>
        <v>0</v>
      </c>
    </row>
    <row r="25" spans="1:18" x14ac:dyDescent="0.25">
      <c r="Q25" s="14">
        <v>23</v>
      </c>
      <c r="R25">
        <f t="shared" si="5"/>
        <v>0</v>
      </c>
    </row>
    <row r="26" spans="1:18" x14ac:dyDescent="0.25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Steve Ochieng</cp:lastModifiedBy>
  <dcterms:created xsi:type="dcterms:W3CDTF">2015-06-05T18:17:20Z</dcterms:created>
  <dcterms:modified xsi:type="dcterms:W3CDTF">2026-07-29T07:10:56Z</dcterms:modified>
</cp:coreProperties>
</file>