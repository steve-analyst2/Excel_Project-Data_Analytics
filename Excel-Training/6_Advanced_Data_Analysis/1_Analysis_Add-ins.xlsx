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_Course-main\6_Advanced_Data_Analysis\"/>
    </mc:Choice>
  </mc:AlternateContent>
  <xr:revisionPtr revIDLastSave="0" documentId="13_ncr:1_{05D3A9E2-A086-40A4-863A-F9660BA53554}" xr6:coauthVersionLast="47" xr6:coauthVersionMax="47" xr10:uidLastSave="{00000000-0000-0000-0000-000000000000}"/>
  <bookViews>
    <workbookView xWindow="-120" yWindow="-120" windowWidth="20730" windowHeight="11760" firstSheet="4" activeTab="4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7" r:id="rId4"/>
    <sheet name="Answer Report 1" sheetId="18" r:id="rId5"/>
    <sheet name="Sensitivity Report 1" sheetId="19" r:id="rId6"/>
    <sheet name="Limits Report 1" sheetId="20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7" i="16" l="1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16" l="1"/>
  <c r="E367" i="16"/>
  <c r="D368" i="16"/>
  <c r="E368" i="16"/>
  <c r="D369" i="16"/>
  <c r="E369" i="16"/>
  <c r="D370" i="16"/>
  <c r="E370" i="16"/>
  <c r="D371" i="16"/>
  <c r="E371" i="16"/>
  <c r="D372" i="16"/>
  <c r="E372" i="16"/>
  <c r="D373" i="16"/>
  <c r="E373" i="16"/>
  <c r="D374" i="16"/>
  <c r="E374" i="16"/>
  <c r="D375" i="16"/>
  <c r="E375" i="16"/>
  <c r="E376" i="16"/>
  <c r="D376" i="16"/>
  <c r="D377" i="16"/>
  <c r="E377" i="16"/>
  <c r="D378" i="16"/>
  <c r="E378" i="16"/>
  <c r="E379" i="16"/>
  <c r="D379" i="16"/>
  <c r="D380" i="16"/>
  <c r="E380" i="16"/>
  <c r="E381" i="16"/>
  <c r="D381" i="16"/>
  <c r="D382" i="16"/>
  <c r="E382" i="16"/>
  <c r="D383" i="16"/>
  <c r="E383" i="16"/>
  <c r="E384" i="16"/>
  <c r="D384" i="16"/>
  <c r="D385" i="16"/>
  <c r="E385" i="16"/>
  <c r="D386" i="16"/>
  <c r="E386" i="16"/>
  <c r="D387" i="16"/>
  <c r="E387" i="16"/>
  <c r="D388" i="16"/>
  <c r="E388" i="16"/>
  <c r="D389" i="16"/>
  <c r="E389" i="16"/>
  <c r="D390" i="16"/>
  <c r="E390" i="16"/>
  <c r="E391" i="16"/>
  <c r="D391" i="16"/>
  <c r="D392" i="16"/>
  <c r="E392" i="16"/>
  <c r="D393" i="16"/>
  <c r="E393" i="16"/>
  <c r="E394" i="16"/>
  <c r="D394" i="16"/>
  <c r="D395" i="16"/>
  <c r="E395" i="16"/>
  <c r="E396" i="16"/>
  <c r="D396" i="16"/>
  <c r="D397" i="16"/>
  <c r="E397" i="16"/>
  <c r="D398" i="16"/>
  <c r="E398" i="16"/>
  <c r="E399" i="16"/>
  <c r="D399" i="16"/>
  <c r="E400" i="16"/>
  <c r="D400" i="16"/>
  <c r="D401" i="16"/>
  <c r="E401" i="16"/>
  <c r="E402" i="16"/>
  <c r="D402" i="16"/>
  <c r="D403" i="16"/>
  <c r="E403" i="16"/>
  <c r="D404" i="16"/>
  <c r="E404" i="16"/>
  <c r="D405" i="16"/>
  <c r="E405" i="16"/>
  <c r="D406" i="16"/>
  <c r="E406" i="16"/>
  <c r="D407" i="16"/>
  <c r="E407" i="16"/>
  <c r="D408" i="16"/>
  <c r="E408" i="16"/>
  <c r="D409" i="16"/>
  <c r="E409" i="16"/>
  <c r="D410" i="16"/>
  <c r="E410" i="16"/>
  <c r="D411" i="16"/>
  <c r="E411" i="16"/>
  <c r="D412" i="16"/>
  <c r="E412" i="16"/>
  <c r="D413" i="16"/>
  <c r="E413" i="16"/>
  <c r="D414" i="16"/>
  <c r="E414" i="16"/>
  <c r="D415" i="16"/>
  <c r="E415" i="16"/>
  <c r="D416" i="16"/>
  <c r="E416" i="16"/>
  <c r="D417" i="16"/>
  <c r="E417" i="16"/>
  <c r="D418" i="16"/>
  <c r="E418" i="16"/>
  <c r="E419" i="16"/>
  <c r="D419" i="16"/>
  <c r="E420" i="16"/>
  <c r="D420" i="16"/>
  <c r="D421" i="16"/>
  <c r="E421" i="16"/>
  <c r="D422" i="16"/>
  <c r="E422" i="16"/>
  <c r="E423" i="16"/>
  <c r="D423" i="16"/>
  <c r="E424" i="16"/>
  <c r="D424" i="16"/>
  <c r="D425" i="16"/>
  <c r="E425" i="16"/>
  <c r="D426" i="16"/>
  <c r="E426" i="16"/>
  <c r="E427" i="16"/>
  <c r="D427" i="16"/>
  <c r="D428" i="16"/>
  <c r="E428" i="16"/>
  <c r="D429" i="16"/>
  <c r="E429" i="16"/>
  <c r="D430" i="16"/>
  <c r="E430" i="16"/>
  <c r="E431" i="16"/>
  <c r="D431" i="16"/>
  <c r="D432" i="16"/>
  <c r="E432" i="16"/>
  <c r="D433" i="16"/>
  <c r="E433" i="16"/>
  <c r="E434" i="16"/>
  <c r="D434" i="16"/>
  <c r="E435" i="16"/>
  <c r="D435" i="16"/>
  <c r="E436" i="16"/>
  <c r="D436" i="16"/>
  <c r="E437" i="16"/>
  <c r="D437" i="16"/>
  <c r="E438" i="16"/>
  <c r="D438" i="16"/>
  <c r="E439" i="16"/>
  <c r="D439" i="16"/>
  <c r="E440" i="16"/>
  <c r="D440" i="16"/>
  <c r="E441" i="16"/>
  <c r="D441" i="16"/>
  <c r="E442" i="16"/>
  <c r="D442" i="16"/>
  <c r="E443" i="16"/>
  <c r="D443" i="16"/>
  <c r="D444" i="16"/>
  <c r="E444" i="16"/>
  <c r="E445" i="16"/>
  <c r="D445" i="16"/>
  <c r="D446" i="16"/>
  <c r="E446" i="16"/>
  <c r="D447" i="16"/>
  <c r="E447" i="16"/>
  <c r="D448" i="16"/>
  <c r="E448" i="16"/>
  <c r="E449" i="16"/>
  <c r="D449" i="16"/>
  <c r="D450" i="16"/>
  <c r="E450" i="16"/>
  <c r="D451" i="16"/>
  <c r="E451" i="16"/>
  <c r="E452" i="16"/>
  <c r="D452" i="16"/>
  <c r="D453" i="16"/>
  <c r="E453" i="16"/>
  <c r="D454" i="16"/>
  <c r="E454" i="16"/>
  <c r="D455" i="16"/>
  <c r="E455" i="16"/>
  <c r="D456" i="16"/>
  <c r="E456" i="16"/>
  <c r="D457" i="16"/>
  <c r="E457" i="16"/>
  <c r="D458" i="16"/>
  <c r="E458" i="16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<sst xmlns="http://schemas.openxmlformats.org/spreadsheetml/2006/main" count="237" uniqueCount="88">
  <si>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</si>
  <si>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</si>
  <si>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</si>
  <si>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</si>
  <si>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</si>
  <si>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</si>
  <si>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</si>
  <si>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</si>
  <si>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</si>
  <si>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</si>
  <si>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</si>
  <si>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</si>
  <si>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</si>
  <si>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</si>
  <si>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</si>
  <si>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</si>
  <si>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</si>
  <si>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</si>
  <si>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</si>
  <si>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</si>
  <si>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</si>
  <si>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</si>
  <si>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</si>
  <si>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</si>
  <si>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</si>
  <si>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</si>
  <si>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</si>
  <si>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</si>
  <si>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</si>
  <si>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</si>
  <si>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</si>
  <si>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</si>
  <si>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</si>
  <si>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</si>
  <si>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</si>
  <si>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</si>
  <si>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</si>
  <si>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</si>
  <si>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</si>
  <si>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</si>
  <si>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</si>
  <si>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</si>
  <si>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</si>
  <si>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</si>
  <si>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</si>
  <si>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</si>
  <si>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</si>
  <si>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</si>
  <si>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</si>
  <si>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</si>
  <si>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</si>
  <si>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</si>
  <si>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</si>
  <si>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</si>
  <si>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</si>
  <si>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</si>
  <si>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</si>
  <si>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</si>
  <si>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</si>
  <si>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</si>
  <si>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</si>
  <si>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</si>
  <si>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</si>
  <si>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</si>
  <si>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</si>
  <si>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</si>
  <si>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</si>
  <si>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</si>
  <si>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</si>
  <si>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</si>
  <si>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</si>
  <si>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</si>
  <si>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</si>
  <si>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</si>
  <si>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</si>
  <si>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</si>
  <si>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</si>
  <si>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</si>
  <si>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user on 8/31/2026
Modified by user on 8/31/2026</t>
  </si>
  <si>
    <t>Report Created: 8/31/2026 10:19:07 AM</t>
  </si>
  <si>
    <t>Solution Time: 0.062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</si>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</sst>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EB-410F-896F-FCD2EC74C42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EB-410F-896F-FCD2EC74C42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EB-410F-896F-FCD2EC74C42C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EB-410F-896F-FCD2EC74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217295"/>
        <c:axId val="1379048351"/>
      </c:lineChart>
      <c:catAx>
        <c:axId val="162621729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48351"/>
        <c:crosses val="autoZero"/>
        <c:auto val="1"/>
        <c:lblAlgn val="ctr"/>
        <c:lblOffset val="100"/>
        <c:noMultiLvlLbl val="0"/>
      </c:catAx>
      <c:valAx>
        <c:axId val="137904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1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3</xdr:row>
      <xdr:rowOff>133350</xdr:rowOff>
    </xdr:from>
    <xdr:to>
      <xdr:col>15</xdr:col>
      <xdr:colOff>247650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367D0-EEF0-9855-BD93-A5866A8E2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A55511-81E9-4AAA-8C0A-DBF31A87D400}" name="Table2" displayName="Table2" ref="A1:E458" totalsRowShown="0">
  <autoFilter ref="A1:E458" xr:uid="{C5A55511-81E9-4AAA-8C0A-DBF31A87D400}"/>
  <tableColumns count="5">
    <tableColumn id="1" xr3:uid="{5922F21F-3C9D-4D93-967E-345D343F178B}" name="Date" dataDxfId="2"/>
    <tableColumn id="2" xr3:uid="{5F51024B-9A9D-41D7-9526-7EB65294558D}" name="Job Count"/>
    <tableColumn id="3" xr3:uid="{7E592573-5958-480F-89A3-333D673A8E49}" name="Forecast(Job Count)">
      <calculatedColumnFormula>_xlfn.FORECAST.ETS(A2,$B$2:$B$366,$A$2:$A$366,1,1)</calculatedColumnFormula>
    </tableColumn>
    <tableColumn id="4" xr3:uid="{250719F9-1431-4515-B62B-5D0A167F6937}" name="Lower Confidence Bound(Job Count)" dataDxfId="1">
      <calculatedColumnFormula>C2-_xlfn.FORECAST.ETS.CONFINT(A2,$B$2:$B$366,$A$2:$A$366,0.95,1,1)</calculatedColumnFormula>
    </tableColumn>
    <tableColumn id="5" xr3:uid="{1000BC1F-20B5-4F57-8F27-0EE1B743CF70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E034-44F3-40C4-BE4E-72F232E4B554}">
  <dimension ref="A1:E458"/>
  <sheetViews>
    <sheetView workbookViewId="0"/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25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25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25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25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25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25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25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25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25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25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25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25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25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25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25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25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25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25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25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25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25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25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25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25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25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25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25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25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25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25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25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DD1D-C0E6-4224-875E-89F954746B3B}">
  <sheetPr>
    <outlinePr summaryBelow="0"/>
  </sheetPr>
  <dimension ref="B1:G18"/>
  <sheetViews>
    <sheetView showGridLines="0" workbookViewId="0"/>
  </sheetViews>
  <sheetFormatPr defaultRowHeight="15" outlineLevelRow="1" outlineLevelCol="1" x14ac:dyDescent="0.25"/>
  <cols>
    <col min="3" max="3" width="10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45" hidden="1" outlineLevel="1" x14ac:dyDescent="0.25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120000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0.05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8.0000000000000002E-3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126000</v>
      </c>
      <c r="E10" s="68">
        <v>110000</v>
      </c>
      <c r="F10" s="68">
        <v>92000</v>
      </c>
      <c r="G10" s="68">
        <v>126000</v>
      </c>
    </row>
    <row r="11" spans="2:7" outlineLevel="1" x14ac:dyDescent="0.25">
      <c r="B11" s="73"/>
      <c r="C11" s="73" t="s">
        <v>36</v>
      </c>
      <c r="D11" s="68">
        <v>127008</v>
      </c>
      <c r="E11" s="68">
        <v>111650</v>
      </c>
      <c r="F11" s="68">
        <v>93104</v>
      </c>
      <c r="G11" s="68">
        <v>127008</v>
      </c>
    </row>
    <row r="12" spans="2:7" outlineLevel="1" x14ac:dyDescent="0.25">
      <c r="B12" s="73"/>
      <c r="C12" s="73" t="s">
        <v>32</v>
      </c>
      <c r="D12" s="68">
        <v>128024.064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25">
      <c r="B13" s="73"/>
      <c r="C13" s="73" t="s">
        <v>33</v>
      </c>
      <c r="D13" s="68">
        <v>129048.25651200001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25">
      <c r="B14" s="73"/>
      <c r="C14" s="73" t="s">
        <v>34</v>
      </c>
      <c r="D14" s="68">
        <v>130080.64256409599</v>
      </c>
      <c r="E14" s="68">
        <v>116749.99056875</v>
      </c>
      <c r="F14" s="68">
        <v>96496.125811712001</v>
      </c>
      <c r="G14" s="68">
        <v>130080.64256409599</v>
      </c>
    </row>
    <row r="15" spans="2:7" ht="15.75" outlineLevel="1" thickBot="1" x14ac:dyDescent="0.3">
      <c r="B15" s="26"/>
      <c r="C15" s="26" t="s">
        <v>35</v>
      </c>
      <c r="D15" s="71">
        <v>640160.96307609603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5054-06FE-4813-A0EA-1C7D56793A8F}">
  <dimension ref="A1:G27"/>
  <sheetViews>
    <sheetView showGridLines="0" tabSelected="1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79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80</v>
      </c>
    </row>
    <row r="8" spans="1:5" hidden="1" outlineLevel="1" x14ac:dyDescent="0.25">
      <c r="A8" s="7"/>
      <c r="B8" t="s">
        <v>81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566749.36179999996</v>
      </c>
      <c r="E16" s="81">
        <v>639999.95109999995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.75" thickBot="1" x14ac:dyDescent="0.3">
      <c r="B27" s="78" t="s">
        <v>29</v>
      </c>
      <c r="C27" s="78" t="s">
        <v>35</v>
      </c>
      <c r="D27" s="81">
        <v>639999.94999999995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FCFB-1B4E-478D-824C-423023526E14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82</v>
      </c>
    </row>
    <row r="2" spans="1:5" x14ac:dyDescent="0.25">
      <c r="A2" s="7" t="s">
        <v>38</v>
      </c>
    </row>
    <row r="3" spans="1:5" x14ac:dyDescent="0.25">
      <c r="A3" s="7" t="s">
        <v>79</v>
      </c>
    </row>
    <row r="6" spans="1:5" ht="15.75" thickBot="1" x14ac:dyDescent="0.3">
      <c r="A6" t="s">
        <v>54</v>
      </c>
    </row>
    <row r="7" spans="1:5" x14ac:dyDescent="0.25">
      <c r="B7" s="84"/>
      <c r="C7" s="84"/>
      <c r="D7" s="84" t="s">
        <v>83</v>
      </c>
      <c r="E7" s="84" t="s">
        <v>84</v>
      </c>
    </row>
    <row r="8" spans="1:5" ht="15.75" thickBot="1" x14ac:dyDescent="0.3">
      <c r="B8" s="85" t="s">
        <v>50</v>
      </c>
      <c r="C8" s="85" t="s">
        <v>51</v>
      </c>
      <c r="D8" s="85" t="s">
        <v>69</v>
      </c>
      <c r="E8" s="85" t="s">
        <v>85</v>
      </c>
    </row>
    <row r="9" spans="1:5" x14ac:dyDescent="0.2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.75" thickBot="1" x14ac:dyDescent="0.3">
      <c r="A12" t="s">
        <v>56</v>
      </c>
    </row>
    <row r="13" spans="1:5" x14ac:dyDescent="0.25">
      <c r="B13" s="84"/>
      <c r="C13" s="84"/>
      <c r="D13" s="84" t="s">
        <v>83</v>
      </c>
      <c r="E13" s="84" t="s">
        <v>86</v>
      </c>
    </row>
    <row r="14" spans="1:5" ht="15.75" thickBot="1" x14ac:dyDescent="0.3">
      <c r="B14" s="85" t="s">
        <v>50</v>
      </c>
      <c r="C14" s="85" t="s">
        <v>51</v>
      </c>
      <c r="D14" s="85" t="s">
        <v>69</v>
      </c>
      <c r="E14" s="85" t="s">
        <v>87</v>
      </c>
    </row>
    <row r="15" spans="1:5" ht="15.75" thickBot="1" x14ac:dyDescent="0.3">
      <c r="B15" s="78" t="s">
        <v>29</v>
      </c>
      <c r="C15" s="78" t="s">
        <v>35</v>
      </c>
      <c r="D15" s="86">
        <v>639999.94999999995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E919-2CD2-4DD6-968A-1942452B61E5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4.7109375" bestFit="1" customWidth="1"/>
    <col min="3" max="3" width="8.2851562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79</v>
      </c>
    </row>
    <row r="5" spans="1:10" ht="15.75" thickBot="1" x14ac:dyDescent="0.3"/>
    <row r="6" spans="1:10" x14ac:dyDescent="0.25">
      <c r="B6" s="84"/>
      <c r="C6" s="84" t="s">
        <v>71</v>
      </c>
      <c r="D6" s="84"/>
    </row>
    <row r="7" spans="1:10" ht="15.75" thickBot="1" x14ac:dyDescent="0.3">
      <c r="B7" s="85" t="s">
        <v>50</v>
      </c>
      <c r="C7" s="85" t="s">
        <v>51</v>
      </c>
      <c r="D7" s="85" t="s">
        <v>69</v>
      </c>
    </row>
    <row r="8" spans="1:10" ht="15.75" thickBot="1" x14ac:dyDescent="0.3">
      <c r="B8" s="78" t="s">
        <v>29</v>
      </c>
      <c r="C8" s="78" t="s">
        <v>35</v>
      </c>
      <c r="D8" s="81">
        <v>639999.95109999995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.75" thickBot="1" x14ac:dyDescent="0.3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2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521727.88</v>
      </c>
      <c r="I13" s="80" t="e">
        <v>#N/A</v>
      </c>
      <c r="J13" s="80" t="e">
        <v>#N/A</v>
      </c>
    </row>
    <row r="14" spans="1:10" ht="15.75" thickBot="1" x14ac:dyDescent="0.3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</v>
      </c>
      <c r="I14" s="78"/>
      <c r="J14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5" x14ac:dyDescent="0.25"/>
  <cols>
    <col min="2" max="2" width="11.5703125" customWidth="1"/>
    <col min="3" max="3" width="11.8554687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0.226693026881682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53687091.200000003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122669.3026881682</v>
      </c>
    </row>
    <row r="10" spans="2:8" x14ac:dyDescent="0.25">
      <c r="B10" s="4">
        <v>1</v>
      </c>
      <c r="C10" s="2">
        <f>(base*(1+raise)^B10)*(1+bonus)</f>
        <v>6585758163529.3945</v>
      </c>
    </row>
    <row r="11" spans="2:8" x14ac:dyDescent="0.25">
      <c r="B11" s="4">
        <v>2</v>
      </c>
      <c r="C11" s="2">
        <f>(base*(1+raise)^B11)*(1+bonus)</f>
        <v>3.5357020573230531E+20</v>
      </c>
    </row>
    <row r="12" spans="2:8" x14ac:dyDescent="0.25">
      <c r="B12" s="4">
        <v>3</v>
      </c>
      <c r="C12" s="2">
        <f>(base*(1+raise)^B12)*(1+bonus)</f>
        <v>1.8982156234323243E+28</v>
      </c>
    </row>
    <row r="13" spans="2:8" ht="15.75" thickBot="1" x14ac:dyDescent="0.3">
      <c r="B13" s="36">
        <v>4</v>
      </c>
      <c r="C13" s="37">
        <f>(base*(1+raise)^B13)*(1+bonus)</f>
        <v>1.0190967719069169E+36</v>
      </c>
    </row>
    <row r="14" spans="2:8" ht="16.5" thickTop="1" thickBot="1" x14ac:dyDescent="0.3">
      <c r="B14" s="34" t="s">
        <v>3</v>
      </c>
      <c r="C14" s="35">
        <f>SUM(C9:C13)</f>
        <v>1.0190967908890734E+36</v>
      </c>
    </row>
  </sheetData>
  <scenarios current="2" show="2" sqref="C9:C14">
    <scenario name="Job 1" locked="1" count="3" user="user" comment="Created by user on 8/31/2026_x000a_Modified by user on 8/31/2026">
      <inputCells r="C3" val="100000" numFmtId="164"/>
      <inputCells r="C4" val="0.1" numFmtId="9"/>
      <inputCells r="C5" val="0.015" numFmtId="165"/>
    </scenario>
    <scenario name="Job 2" locked="1" count="3" user="user" comment="Created by user on 8/31/2026_x000a_Modified by user on 8/31/2026">
      <inputCells r="C3" val="80000" numFmtId="164"/>
      <inputCells r="C4" val="0.15" numFmtId="9"/>
      <inputCells r="C5" val="0.012" numFmtId="165"/>
    </scenario>
    <scenario name="Job 3" locked="1" count="3" user="user" comment="Created by user on 8/31/2026_x000a_Modified by user on 8/31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Steve Ochieng</cp:lastModifiedBy>
  <dcterms:created xsi:type="dcterms:W3CDTF">2024-08-08T18:34:47Z</dcterms:created>
  <dcterms:modified xsi:type="dcterms:W3CDTF">2026-09-01T09:34:38Z</dcterms:modified>
</cp:coreProperties>
</file>